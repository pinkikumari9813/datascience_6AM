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adway\Data Science - 6 AM\"/>
    </mc:Choice>
  </mc:AlternateContent>
  <xr:revisionPtr revIDLastSave="0" documentId="8_{68561690-50B4-4818-B4D5-6BA94F0F8065}" xr6:coauthVersionLast="47" xr6:coauthVersionMax="47" xr10:uidLastSave="{00000000-0000-0000-0000-000000000000}"/>
  <bookViews>
    <workbookView xWindow="-98" yWindow="-98" windowWidth="21795" windowHeight="12975" xr2:uid="{38A7865D-4893-41BC-B692-566429742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  <c r="H38" i="1"/>
  <c r="I27" i="1"/>
  <c r="I32" i="1"/>
  <c r="J32" i="1"/>
  <c r="H32" i="1"/>
  <c r="E33" i="1"/>
  <c r="F33" i="1"/>
  <c r="D33" i="1"/>
  <c r="E32" i="1"/>
  <c r="F32" i="1"/>
  <c r="D32" i="1"/>
  <c r="E31" i="1"/>
  <c r="F31" i="1"/>
  <c r="D31" i="1"/>
  <c r="E29" i="1"/>
  <c r="F29" i="1"/>
  <c r="D29" i="1"/>
  <c r="E28" i="1"/>
  <c r="F28" i="1"/>
  <c r="D28" i="1"/>
  <c r="F18" i="1"/>
  <c r="E18" i="1"/>
  <c r="D18" i="1"/>
  <c r="F17" i="1"/>
  <c r="E17" i="1"/>
  <c r="D17" i="1"/>
  <c r="E15" i="1"/>
  <c r="F15" i="1"/>
  <c r="D15" i="1"/>
  <c r="E14" i="1"/>
  <c r="F14" i="1"/>
  <c r="D14" i="1"/>
</calcChain>
</file>

<file path=xl/sharedStrings.xml><?xml version="1.0" encoding="utf-8"?>
<sst xmlns="http://schemas.openxmlformats.org/spreadsheetml/2006/main" count="27" uniqueCount="18">
  <si>
    <t>Employee</t>
  </si>
  <si>
    <t>emp_satisfaction</t>
  </si>
  <si>
    <t>salary</t>
  </si>
  <si>
    <t>year_experience</t>
  </si>
  <si>
    <t>Job Position</t>
  </si>
  <si>
    <t>S/A/J</t>
  </si>
  <si>
    <t>S</t>
  </si>
  <si>
    <t>A</t>
  </si>
  <si>
    <t>J</t>
  </si>
  <si>
    <t>ML</t>
  </si>
  <si>
    <t>Mean</t>
  </si>
  <si>
    <t>SS</t>
  </si>
  <si>
    <t>SD</t>
  </si>
  <si>
    <t>SS_Val</t>
  </si>
  <si>
    <t>MM</t>
  </si>
  <si>
    <t>Min</t>
  </si>
  <si>
    <t>Max</t>
  </si>
  <si>
    <t>sum of error -&gt; total error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</si>
</sst>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0B31-0FDC-4DEF-821C-2857E8C6186B}">
  <dimension ref="C5:J38"/>
  <sheetViews>
    <sheetView tabSelected="1" topLeftCell="B21" zoomScale="145" workbookViewId="0">
      <selection activeCell="G28" sqref="G28"/>
    </sheetView>
  </sheetViews>
  <sheetFormatPr defaultRowHeight="14.25" x14ac:dyDescent="0.45"/>
  <cols>
    <col min="1" max="2" width="9.06640625" style="1"/>
    <col min="3" max="3" width="6.06640625" style="1" bestFit="1" customWidth="1"/>
    <col min="4" max="4" width="14.06640625" style="1" bestFit="1" customWidth="1"/>
    <col min="5" max="5" width="11.86328125" style="1" bestFit="1" customWidth="1"/>
    <col min="6" max="6" width="14.53125" style="1" bestFit="1" customWidth="1"/>
    <col min="7" max="7" width="9.06640625" style="1"/>
    <col min="8" max="8" width="14.06640625" style="1" bestFit="1" customWidth="1"/>
    <col min="9" max="9" width="15.33203125" style="1" customWidth="1"/>
    <col min="10" max="10" width="14.53125" style="1" bestFit="1" customWidth="1"/>
    <col min="11" max="16384" width="9.06640625" style="1"/>
  </cols>
  <sheetData>
    <row r="5" spans="3:10" x14ac:dyDescent="0.45">
      <c r="D5" s="1" t="s">
        <v>0</v>
      </c>
      <c r="I5" s="1" t="s">
        <v>5</v>
      </c>
    </row>
    <row r="6" spans="3:10" x14ac:dyDescent="0.45">
      <c r="J6" s="1" t="s">
        <v>9</v>
      </c>
    </row>
    <row r="7" spans="3:10" x14ac:dyDescent="0.45">
      <c r="D7" s="1" t="s">
        <v>3</v>
      </c>
      <c r="E7" s="1" t="s">
        <v>2</v>
      </c>
      <c r="F7" s="1" t="s">
        <v>1</v>
      </c>
      <c r="H7" s="1" t="s">
        <v>4</v>
      </c>
    </row>
    <row r="8" spans="3:10" x14ac:dyDescent="0.45">
      <c r="D8" s="1">
        <v>10</v>
      </c>
      <c r="E8" s="1">
        <v>400000</v>
      </c>
      <c r="F8" s="1">
        <v>4.5</v>
      </c>
      <c r="H8" s="1" t="s">
        <v>6</v>
      </c>
    </row>
    <row r="9" spans="3:10" x14ac:dyDescent="0.45">
      <c r="D9" s="1">
        <v>2</v>
      </c>
      <c r="E9" s="1">
        <v>40000</v>
      </c>
      <c r="F9" s="1">
        <v>4.5</v>
      </c>
      <c r="H9" s="1" t="s">
        <v>7</v>
      </c>
    </row>
    <row r="10" spans="3:10" x14ac:dyDescent="0.45">
      <c r="D10" s="1">
        <v>3</v>
      </c>
      <c r="E10" s="1">
        <v>35000</v>
      </c>
      <c r="F10" s="1">
        <v>3</v>
      </c>
      <c r="H10" s="1" t="s">
        <v>8</v>
      </c>
    </row>
    <row r="11" spans="3:10" x14ac:dyDescent="0.45">
      <c r="D11" s="1">
        <v>1</v>
      </c>
      <c r="E11" s="1">
        <v>15000</v>
      </c>
      <c r="F11" s="1">
        <v>3.2</v>
      </c>
      <c r="H11" s="1" t="s">
        <v>8</v>
      </c>
    </row>
    <row r="12" spans="3:10" x14ac:dyDescent="0.45">
      <c r="D12" s="1">
        <v>25</v>
      </c>
      <c r="E12" s="1">
        <v>1000000</v>
      </c>
      <c r="F12" s="1">
        <v>5</v>
      </c>
      <c r="H12" s="1" t="s">
        <v>6</v>
      </c>
    </row>
    <row r="13" spans="3:10" x14ac:dyDescent="0.45">
      <c r="C13" s="1" t="s">
        <v>11</v>
      </c>
    </row>
    <row r="14" spans="3:10" x14ac:dyDescent="0.45">
      <c r="C14" s="1" t="s">
        <v>10</v>
      </c>
      <c r="D14" s="1">
        <f>AVERAGE(D8:D12)</f>
        <v>8.1999999999999993</v>
      </c>
      <c r="E14" s="1">
        <f t="shared" ref="E14:F14" si="0">AVERAGE(E8:E12)</f>
        <v>298000</v>
      </c>
      <c r="F14" s="1">
        <f t="shared" si="0"/>
        <v>4.04</v>
      </c>
    </row>
    <row r="15" spans="3:10" x14ac:dyDescent="0.45">
      <c r="C15" s="1" t="s">
        <v>12</v>
      </c>
      <c r="D15" s="1">
        <f>_xlfn.STDEV.P(D8:D12)</f>
        <v>8.9755222689267509</v>
      </c>
      <c r="E15" s="1">
        <f t="shared" ref="E15:F15" si="1">_xlfn.STDEV.P(E8:E12)</f>
        <v>379217.61562459095</v>
      </c>
      <c r="F15" s="1">
        <f t="shared" si="1"/>
        <v>0.79145435749637727</v>
      </c>
    </row>
    <row r="17" spans="3:10" x14ac:dyDescent="0.45">
      <c r="C17" s="1" t="s">
        <v>13</v>
      </c>
      <c r="D17" s="1">
        <f>(D8-D14)/D15</f>
        <v>0.20054543301971395</v>
      </c>
      <c r="E17" s="1">
        <f>(E8-E14)/E15</f>
        <v>0.2689748466246768</v>
      </c>
      <c r="F17" s="1">
        <f>(F8-F14)/F15</f>
        <v>0.58120850007715763</v>
      </c>
    </row>
    <row r="18" spans="3:10" x14ac:dyDescent="0.45">
      <c r="D18" s="1">
        <f>(D12-D14)/D15</f>
        <v>1.8717573748506628</v>
      </c>
      <c r="E18" s="1">
        <f>(E12-E14)/E15</f>
        <v>1.8511798267698345</v>
      </c>
      <c r="F18" s="1">
        <f>(F12-F14)/F15</f>
        <v>1.2129568697262421</v>
      </c>
    </row>
    <row r="21" spans="3:10" x14ac:dyDescent="0.45">
      <c r="D21" s="1" t="s">
        <v>3</v>
      </c>
      <c r="E21" s="1" t="s">
        <v>2</v>
      </c>
      <c r="F21" s="1" t="s">
        <v>1</v>
      </c>
      <c r="H21" s="1" t="s">
        <v>3</v>
      </c>
      <c r="I21" s="1" t="s">
        <v>2</v>
      </c>
      <c r="J21" s="1" t="s">
        <v>1</v>
      </c>
    </row>
    <row r="22" spans="3:10" x14ac:dyDescent="0.45">
      <c r="D22" s="1">
        <v>10</v>
      </c>
      <c r="E22" s="1">
        <v>400000</v>
      </c>
      <c r="F22" s="1">
        <v>4.5</v>
      </c>
      <c r="H22" s="1">
        <v>1</v>
      </c>
      <c r="I22" s="1">
        <v>100</v>
      </c>
      <c r="J22" s="1">
        <v>1</v>
      </c>
    </row>
    <row r="23" spans="3:10" x14ac:dyDescent="0.45">
      <c r="D23" s="1">
        <v>2</v>
      </c>
      <c r="E23" s="1">
        <v>40000</v>
      </c>
      <c r="F23" s="1">
        <v>4.5</v>
      </c>
      <c r="H23" s="1">
        <v>1</v>
      </c>
      <c r="I23" s="1">
        <v>200</v>
      </c>
      <c r="J23" s="1">
        <v>1</v>
      </c>
    </row>
    <row r="24" spans="3:10" x14ac:dyDescent="0.45">
      <c r="D24" s="1">
        <v>3</v>
      </c>
      <c r="E24" s="1">
        <v>35000</v>
      </c>
      <c r="F24" s="1">
        <v>3</v>
      </c>
      <c r="H24" s="1">
        <v>1</v>
      </c>
      <c r="I24" s="1">
        <v>100</v>
      </c>
      <c r="J24" s="1">
        <v>2</v>
      </c>
    </row>
    <row r="25" spans="3:10" x14ac:dyDescent="0.45">
      <c r="D25" s="1">
        <v>1</v>
      </c>
      <c r="E25" s="1">
        <v>15000</v>
      </c>
      <c r="F25" s="1">
        <v>3.2</v>
      </c>
      <c r="H25" s="1">
        <v>0</v>
      </c>
      <c r="I25" s="1">
        <v>150</v>
      </c>
      <c r="J25" s="1">
        <v>3</v>
      </c>
    </row>
    <row r="26" spans="3:10" x14ac:dyDescent="0.45">
      <c r="D26" s="1">
        <v>25</v>
      </c>
      <c r="E26" s="1">
        <v>1000000</v>
      </c>
      <c r="F26" s="1">
        <v>5</v>
      </c>
      <c r="H26" s="1">
        <v>0</v>
      </c>
      <c r="I26" s="1">
        <v>165</v>
      </c>
      <c r="J26" s="1">
        <v>2</v>
      </c>
    </row>
    <row r="27" spans="3:10" x14ac:dyDescent="0.45">
      <c r="C27" s="1" t="s">
        <v>14</v>
      </c>
      <c r="I27" s="1">
        <f>AVERAGE(I22:I26)</f>
        <v>143</v>
      </c>
    </row>
    <row r="28" spans="3:10" x14ac:dyDescent="0.45">
      <c r="C28" s="1" t="s">
        <v>15</v>
      </c>
      <c r="D28" s="1">
        <f>MIN(D22:D26)</f>
        <v>1</v>
      </c>
      <c r="E28" s="1">
        <f t="shared" ref="E28:F28" si="2">MIN(E22:E26)</f>
        <v>15000</v>
      </c>
      <c r="F28" s="1">
        <f t="shared" si="2"/>
        <v>3</v>
      </c>
      <c r="H28" s="1">
        <v>0</v>
      </c>
      <c r="I28" s="1">
        <v>100</v>
      </c>
      <c r="J28" s="1">
        <v>1</v>
      </c>
    </row>
    <row r="29" spans="3:10" x14ac:dyDescent="0.45">
      <c r="C29" s="1" t="s">
        <v>16</v>
      </c>
      <c r="D29" s="1">
        <f>MAX(D22:D26)</f>
        <v>25</v>
      </c>
      <c r="E29" s="1">
        <f t="shared" ref="E29:F29" si="3">MAX(E22:E26)</f>
        <v>1000000</v>
      </c>
      <c r="F29" s="1">
        <f t="shared" si="3"/>
        <v>5</v>
      </c>
      <c r="H29" s="1">
        <v>1</v>
      </c>
      <c r="I29" s="1">
        <v>200</v>
      </c>
      <c r="J29" s="1">
        <v>3</v>
      </c>
    </row>
    <row r="31" spans="3:10" x14ac:dyDescent="0.45">
      <c r="C31" s="1" t="s">
        <v>14</v>
      </c>
      <c r="D31" s="1">
        <f>(D22-D28)/(D29-D28)</f>
        <v>0.375</v>
      </c>
      <c r="E31" s="1">
        <f t="shared" ref="E31:F31" si="4">(E22-E28)/(E29-E28)</f>
        <v>0.39086294416243655</v>
      </c>
      <c r="F31" s="1">
        <f t="shared" si="4"/>
        <v>0.75</v>
      </c>
    </row>
    <row r="32" spans="3:10" x14ac:dyDescent="0.45">
      <c r="D32" s="1">
        <f>(D26-D28)/(D29-D28)</f>
        <v>1</v>
      </c>
      <c r="E32" s="1">
        <f t="shared" ref="E32:F32" si="5">(E26-E28)/(E29-E28)</f>
        <v>1</v>
      </c>
      <c r="F32" s="1">
        <f t="shared" si="5"/>
        <v>1</v>
      </c>
      <c r="H32" s="1">
        <f>(H22-H28)/(H29-H28)</f>
        <v>1</v>
      </c>
      <c r="I32" s="1">
        <f t="shared" ref="I32:J32" si="6">(I22-I28)/(I29-I28)</f>
        <v>0</v>
      </c>
      <c r="J32" s="1">
        <f t="shared" si="6"/>
        <v>0</v>
      </c>
    </row>
    <row r="33" spans="4:8" x14ac:dyDescent="0.45">
      <c r="D33" s="1">
        <f>(D25-D28)/(D29-D28)</f>
        <v>0</v>
      </c>
      <c r="E33" s="1">
        <f t="shared" ref="E33:F33" si="7">(E25-E28)/(E29-E28)</f>
        <v>0</v>
      </c>
      <c r="F33" s="1">
        <f t="shared" si="7"/>
        <v>0.10000000000000009</v>
      </c>
    </row>
    <row r="36" spans="4:8" x14ac:dyDescent="0.45">
      <c r="F36" s="1" t="s">
        <v>17</v>
      </c>
    </row>
    <row r="38" spans="4:8" x14ac:dyDescent="0.45">
      <c r="F38" s="1">
        <f>4000/143</f>
        <v>27.972027972027973</v>
      </c>
      <c r="H38" s="1">
        <f>4000 - 143</f>
        <v>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2026-04-30T00:54:46Z</dcterms:created>
  <dcterms:modified xsi:type="dcterms:W3CDTF">2026-04-30T02:13:50Z</dcterms:modified>
</cp:coreProperties>
</file>